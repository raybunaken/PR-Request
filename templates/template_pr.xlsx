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 Request" sheetId="1" r:id="rId5"/>
  </sheets>
  <definedNames/>
  <calcPr/>
</workbook>
</file>

<file path=xl/sharedStrings.xml><?xml version="1.0" encoding="utf-8"?>
<sst xmlns="http://schemas.openxmlformats.org/spreadsheetml/2006/main" count="37" uniqueCount="35">
  <si>
    <t>PAYMENT REQUISITION</t>
  </si>
  <si>
    <t xml:space="preserve">                       Date</t>
  </si>
  <si>
    <t>Company</t>
  </si>
  <si>
    <t>PT. Ninety Nine Dotco</t>
  </si>
  <si>
    <t xml:space="preserve">       Due Date</t>
  </si>
  <si>
    <t>Requester Name</t>
  </si>
  <si>
    <t>Fransisca Octarina</t>
  </si>
  <si>
    <t>Petty Cash</t>
  </si>
  <si>
    <t>Department</t>
  </si>
  <si>
    <t>CEO Team</t>
  </si>
  <si>
    <t>Cash Advance</t>
  </si>
  <si>
    <t>Purpose</t>
  </si>
  <si>
    <t>Referral Fee Agent Irene Dyah Respati</t>
  </si>
  <si>
    <t>Payee to</t>
  </si>
  <si>
    <t>Irene Dyah Respati</t>
  </si>
  <si>
    <t>Payee details</t>
  </si>
  <si>
    <t>Bank Name</t>
  </si>
  <si>
    <t>BCA</t>
  </si>
  <si>
    <t>Bank Account Number</t>
  </si>
  <si>
    <t>Bank Account Name</t>
  </si>
  <si>
    <t>Amount</t>
  </si>
  <si>
    <t>No</t>
  </si>
  <si>
    <t>Description</t>
  </si>
  <si>
    <t>Type of Expenses</t>
  </si>
  <si>
    <t>Jumlah</t>
  </si>
  <si>
    <t xml:space="preserve">Mortgage - Agent transaction
Commission sharing a.n. Ryan Satria Hutama </t>
  </si>
  <si>
    <t>Cost Mortgage - Agent Transaction</t>
  </si>
  <si>
    <t>Total</t>
  </si>
  <si>
    <t>Supporting document link</t>
  </si>
  <si>
    <t xml:space="preserve">Ryan Satria Hutama </t>
  </si>
  <si>
    <t>Requested by</t>
  </si>
  <si>
    <t>Approved by (Business Unit Head)</t>
  </si>
  <si>
    <t>Approved by ( Finance )</t>
  </si>
  <si>
    <t>Cheung Yik</t>
  </si>
  <si>
    <t>Approved by (BOD)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</si>
</sst>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[$Rp]#,##0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color theme="1"/>
      <name val="Arial"/>
    </font>
    <font>
      <sz val="10.0"/>
      <color rgb="FF4F81BD"/>
      <name val="Arial"/>
    </font>
    <font>
      <sz val="11.0"/>
      <color rgb="FFFFFFFF"/>
      <name val="Arial"/>
    </font>
    <font>
      <color rgb="FF4285F4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sz val="10.0"/>
      <color rgb="FFFFFFFF"/>
      <name val="Arial"/>
    </font>
    <font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155CC"/>
        <bgColor rgb="FF1155CC"/>
      </patternFill>
    </fill>
    <fill>
      <patternFill patternType="solid">
        <fgColor theme="0"/>
        <bgColor theme="0"/>
      </patternFill>
    </fill>
  </fills>
  <borders count="8">
    <border/>
    <border>
      <right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1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2" fillId="2" fontId="4" numFmtId="164" xfId="0" applyAlignment="1" applyBorder="1" applyFill="1" applyFont="1" applyNumberFormat="1">
      <alignment horizontal="center" readingOrder="0" vertical="bottom"/>
    </xf>
    <xf borderId="3" fillId="0" fontId="4" numFmtId="0" xfId="0" applyAlignment="1" applyBorder="1" applyFont="1">
      <alignment horizontal="center" vertical="bottom"/>
    </xf>
    <xf borderId="0" fillId="3" fontId="5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1" fillId="0" fontId="4" numFmtId="0" xfId="0" applyAlignment="1" applyBorder="1" applyFont="1">
      <alignment horizontal="center" vertical="bottom"/>
    </xf>
    <xf borderId="0" fillId="0" fontId="1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horizontal="right"/>
    </xf>
    <xf borderId="0" fillId="0" fontId="6" numFmtId="0" xfId="0" applyAlignment="1" applyFont="1">
      <alignment vertical="bottom"/>
    </xf>
    <xf borderId="1" fillId="0" fontId="7" numFmtId="0" xfId="0" applyBorder="1" applyFont="1"/>
    <xf borderId="1" fillId="2" fontId="1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8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1" fillId="2" fontId="1" numFmtId="0" xfId="0" applyAlignment="1" applyBorder="1" applyFill="1" applyFont="1">
      <alignment horizontal="left" readingOrder="0" vertical="bottom"/>
    </xf>
    <xf borderId="0" fillId="0" fontId="9" numFmtId="3" xfId="0" applyAlignment="1" applyFont="1" applyNumberFormat="1">
      <alignment horizontal="left" readingOrder="0" shrinkToFit="0" wrapText="1"/>
    </xf>
    <xf borderId="0" fillId="0" fontId="10" numFmtId="0" xfId="0" applyAlignment="1" applyFont="1">
      <alignment readingOrder="0"/>
    </xf>
    <xf borderId="4" fillId="3" fontId="10" numFmtId="0" xfId="0" applyAlignment="1" applyBorder="1" applyFill="1" applyFont="1">
      <alignment horizontal="center" readingOrder="0"/>
    </xf>
    <xf borderId="5" fillId="3" fontId="10" numFmtId="0" xfId="0" applyAlignment="1" applyBorder="1" applyFill="1" applyFont="1">
      <alignment horizontal="center"/>
    </xf>
    <xf borderId="6" fillId="0" fontId="7" numFmtId="0" xfId="0" applyBorder="1" applyFont="1"/>
    <xf borderId="7" fillId="0" fontId="7" numFmtId="0" xfId="0" applyBorder="1" applyFont="1"/>
    <xf borderId="4" fillId="3" fontId="10" numFmtId="0" xfId="0" applyAlignment="1" applyBorder="1" applyFill="1" applyFont="1">
      <alignment horizontal="center"/>
    </xf>
    <xf borderId="4" fillId="2" fontId="1" numFmtId="0" xfId="0" applyAlignment="1" applyBorder="1" applyFill="1" applyFont="1">
      <alignment readingOrder="0"/>
    </xf>
    <xf borderId="5" fillId="2" fontId="1" numFmtId="0" xfId="0" applyAlignment="1" applyBorder="1" applyFill="1" applyFont="1">
      <alignment readingOrder="0"/>
    </xf>
    <xf borderId="6" fillId="2" fontId="1" numFmtId="0" xfId="0" applyAlignment="1" applyBorder="1" applyFill="1" applyFont="1">
      <alignment readingOrder="0"/>
    </xf>
    <xf borderId="7" fillId="2" fontId="1" numFmtId="0" xfId="0" applyAlignment="1" applyBorder="1" applyFill="1" applyFont="1">
      <alignment readingOrder="0"/>
    </xf>
    <xf borderId="4" fillId="2" fontId="1" numFmtId="0" xfId="0" applyAlignment="1" applyBorder="1" applyFill="1" applyFont="1">
      <alignment readingOrder="0" shrinkToFit="0" wrapText="1"/>
    </xf>
    <xf borderId="4" fillId="2" fontId="1" numFmtId="165" xfId="0" applyAlignment="1" applyBorder="1" applyFill="1" applyFont="1" applyNumberFormat="1">
      <alignment readingOrder="0"/>
    </xf>
    <xf borderId="4" fillId="2" fontId="1" numFmtId="0" xfId="0" applyBorder="1" applyFill="1" applyFont="1"/>
    <xf borderId="5" fillId="2" fontId="1" numFmtId="0" xfId="0" applyBorder="1" applyFill="1" applyFont="1"/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4" fillId="4" fontId="1" numFmtId="165" xfId="0" applyBorder="1" applyFill="1" applyFont="1" applyNumberFormat="1"/>
    <xf borderId="0" fillId="2" fontId="1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shrinkToFit="0" vertical="bottom" wrapText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200025</xdr:rowOff>
    </xdr:from>
    <xdr:ext cx="2838450" cy="1038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W5g8ShDRW3FJOxYt2cTkyfmIGFZeUpA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8.75"/>
    <col customWidth="1" min="3" max="3" width="15.88"/>
    <col customWidth="1" min="4" max="4" width="27.0"/>
    <col customWidth="1" min="5" max="5" width="10.13"/>
    <col customWidth="1" min="6" max="6" width="21.75"/>
    <col customWidth="1" min="7" max="7" width="14.25"/>
    <col hidden="1" min="9" max="26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2" t="s"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3"/>
      <c r="D9" s="3"/>
      <c r="E9" s="3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4"/>
      <c r="H10" s="5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6" t="s">
        <v>1</v>
      </c>
      <c r="G11" s="7">
        <f>today()</f>
        <v>46280</v>
      </c>
      <c r="H11" s="3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">
        <v>2</v>
      </c>
      <c r="D12" s="10" t="s">
        <v>3</v>
      </c>
      <c r="E12" s="1"/>
      <c r="F12" s="11" t="s">
        <v>4</v>
      </c>
      <c r="G12" s="7"/>
      <c r="H12" s="3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/>
      <c r="B13" s="13" t="s">
        <v>5</v>
      </c>
      <c r="D13" s="14" t="s">
        <v>6</v>
      </c>
      <c r="E13" s="1"/>
      <c r="F13" s="15" t="b">
        <v>0</v>
      </c>
      <c r="G13" s="16" t="s">
        <v>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/>
      <c r="B14" s="13" t="s">
        <v>8</v>
      </c>
      <c r="C14" s="17"/>
      <c r="D14" s="18" t="s">
        <v>9</v>
      </c>
      <c r="E14" s="1"/>
      <c r="F14" s="19" t="b">
        <v>0</v>
      </c>
      <c r="G14" s="20" t="s">
        <v>10</v>
      </c>
      <c r="H14" s="3"/>
      <c r="I14" s="21"/>
      <c r="J14" s="2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2"/>
      <c r="B15" s="23" t="s">
        <v>11</v>
      </c>
      <c r="C15" s="24"/>
      <c r="D15" s="25" t="s">
        <v>12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2"/>
      <c r="B16" s="26"/>
      <c r="C16" s="24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"/>
      <c r="B17" s="13" t="s">
        <v>13</v>
      </c>
      <c r="C17" s="17"/>
      <c r="D17" s="18" t="s">
        <v>14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8"/>
      <c r="B18" s="28" t="s">
        <v>15</v>
      </c>
      <c r="D18" s="2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9"/>
      <c r="B19" s="29" t="s">
        <v>16</v>
      </c>
      <c r="D19" s="18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9"/>
      <c r="B20" s="29" t="s">
        <v>18</v>
      </c>
      <c r="D20" s="30">
        <v>6.565190826E9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9"/>
      <c r="B21" s="29" t="s">
        <v>19</v>
      </c>
      <c r="D21" s="18" t="s">
        <v>14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9"/>
      <c r="B22" s="29" t="s">
        <v>20</v>
      </c>
      <c r="D22" s="31">
        <v>1.2297074E7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2"/>
      <c r="B24" s="33" t="s">
        <v>21</v>
      </c>
      <c r="C24" s="34" t="s">
        <v>22</v>
      </c>
      <c r="D24" s="35"/>
      <c r="E24" s="36"/>
      <c r="F24" s="37" t="s">
        <v>23</v>
      </c>
      <c r="G24" s="37" t="s">
        <v>24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8">
        <v>1.0</v>
      </c>
      <c r="C25" s="39" t="s">
        <v>25</v>
      </c>
      <c r="D25" s="40"/>
      <c r="E25" s="41"/>
      <c r="F25" s="42" t="s">
        <v>26</v>
      </c>
      <c r="G25" s="43">
        <f>D22</f>
        <v>12297074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4"/>
      <c r="C26" s="45"/>
      <c r="D26" s="35"/>
      <c r="E26" s="36"/>
      <c r="F26" s="44"/>
      <c r="G26" s="4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4"/>
      <c r="C27" s="45"/>
      <c r="D27" s="35"/>
      <c r="E27" s="36"/>
      <c r="F27" s="44"/>
      <c r="G27" s="4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4"/>
      <c r="C28" s="45"/>
      <c r="D28" s="35"/>
      <c r="E28" s="36"/>
      <c r="F28" s="44"/>
      <c r="G28" s="4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4"/>
      <c r="C29" s="45"/>
      <c r="D29" s="35"/>
      <c r="E29" s="36"/>
      <c r="F29" s="44"/>
      <c r="G29" s="4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4"/>
      <c r="C30" s="45"/>
      <c r="D30" s="35"/>
      <c r="E30" s="36"/>
      <c r="F30" s="44"/>
      <c r="G30" s="4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4"/>
      <c r="C31" s="45"/>
      <c r="D31" s="35"/>
      <c r="E31" s="36"/>
      <c r="F31" s="44"/>
      <c r="G31" s="4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6"/>
      <c r="B32" s="47" t="s">
        <v>27</v>
      </c>
      <c r="C32" s="35"/>
      <c r="D32" s="35"/>
      <c r="E32" s="35"/>
      <c r="F32" s="36"/>
      <c r="G32" s="48">
        <f>G25</f>
        <v>12297074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1"/>
      <c r="B33" s="2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1"/>
      <c r="B34" s="21" t="s">
        <v>28</v>
      </c>
      <c r="C34" s="1"/>
      <c r="D34" s="49" t="s">
        <v>29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0"/>
      <c r="B37" s="51" t="s">
        <v>30</v>
      </c>
      <c r="D37" s="52" t="s">
        <v>31</v>
      </c>
      <c r="E37" s="53"/>
      <c r="F37" s="52" t="s">
        <v>32</v>
      </c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54" t="s">
        <v>6</v>
      </c>
      <c r="D38" s="54" t="s">
        <v>33</v>
      </c>
      <c r="F38" s="54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1"/>
      <c r="D39" s="2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55" t="s">
        <v>34</v>
      </c>
      <c r="C41" s="1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idden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idden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idden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idden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idden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idden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idden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idden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idden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idden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idden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idden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idden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idden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idden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idden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idden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idden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idden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idden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idden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idden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6">
    <mergeCell ref="C8:F8"/>
    <mergeCell ref="B12:C12"/>
    <mergeCell ref="B13:C13"/>
    <mergeCell ref="B14:C14"/>
    <mergeCell ref="B17:C17"/>
    <mergeCell ref="B18:C18"/>
    <mergeCell ref="B19:C19"/>
    <mergeCell ref="B20:C20"/>
    <mergeCell ref="B21:C21"/>
    <mergeCell ref="B22:C22"/>
    <mergeCell ref="C24:E24"/>
    <mergeCell ref="C26:E26"/>
    <mergeCell ref="C27:E27"/>
    <mergeCell ref="C28:E28"/>
    <mergeCell ref="B38:C38"/>
    <mergeCell ref="D38:E38"/>
    <mergeCell ref="F38:G38"/>
    <mergeCell ref="B41:C41"/>
    <mergeCell ref="B42:C42"/>
    <mergeCell ref="C29:E29"/>
    <mergeCell ref="C30:E30"/>
    <mergeCell ref="C31:E31"/>
    <mergeCell ref="B32:F32"/>
    <mergeCell ref="D34:G34"/>
    <mergeCell ref="B37:C37"/>
    <mergeCell ref="F37:G37"/>
  </mergeCells>
  <dataValidations>
    <dataValidation type="list" allowBlank="1" sqref="D14">
      <formula1>"Deputy CEO,CEO Team,VP Sales,Agent Sales,Customer Marketing,Consumer Marketing,Telesales / NPL,Performance Marketing,SEO/Traffic/On Page,Product,Engineering,BI/Sales Ops/Media Ops &amp; VL,People Ops,Finance,Customer Success,PGF,Media &amp; Bank"</formula1>
    </dataValidation>
    <dataValidation type="list" allowBlank="1" sqref="D12">
      <formula1>"PT. Web Marketing Indonesia,PT. Ninety Nine Dotco,PT. Properti Bagus Indonesia"</formula1>
    </dataValidation>
    <dataValidation type="custom" allowBlank="1" showDropDown="1" sqref="G11:G12">
      <formula1>OR(NOT(ISERROR(DATEVALUE(G11))), AND(ISNUMBER(G11), LEFT(CELL("format", G11))="D"))</formula1>
    </dataValidation>
  </dataValidations>
  <hyperlinks>
    <hyperlink r:id="rId1" ref="D34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